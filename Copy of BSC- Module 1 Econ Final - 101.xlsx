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" sheetId="1" r:id="rId5"/>
    <sheet state="visible" name="CH1_SIM" sheetId="2" r:id="rId6"/>
    <sheet state="visible" name="CH1_MCQ" sheetId="3" r:id="rId7"/>
    <sheet state="visible" name="CH2_SIM" sheetId="4" r:id="rId8"/>
    <sheet state="visible" name="CH2_MCQ" sheetId="5" r:id="rId9"/>
    <sheet state="visible" name="CH3_SIM" sheetId="6" r:id="rId10"/>
    <sheet state="visible" name="CH3_MCQ" sheetId="7" r:id="rId11"/>
    <sheet state="visible" name="FINAL_CHECK" sheetId="8" r:id="rId12"/>
    <sheet state="visible" name="RESULTS" sheetId="9" r:id="rId13"/>
    <sheet state="visible" name="SYSTEM_LOG" sheetId="10" r:id="rId14"/>
  </sheets>
  <definedNames/>
  <calcPr/>
</workbook>
</file>

<file path=xl/sharedStrings.xml><?xml version="1.0" encoding="utf-8"?>
<sst xmlns="http://schemas.openxmlformats.org/spreadsheetml/2006/main" count="233" uniqueCount="173">
  <si>
    <t>City Budget Simulation — Module 1 Final</t>
  </si>
  <si>
    <t>You are managing a city budget over time.</t>
  </si>
  <si>
    <t>Your resources are limited. Your choices have consequences.</t>
  </si>
  <si>
    <t>Total Budget: 100 Units</t>
  </si>
  <si>
    <t>Use the menu above to begin.</t>
  </si>
  <si>
    <t>Chapter 1 — Building the City</t>
  </si>
  <si>
    <t xml:space="preserve">Starting Budget </t>
  </si>
  <si>
    <t>Remaining Budget</t>
  </si>
  <si>
    <t>Choose which projects to fund. You cannot fund everything.</t>
  </si>
  <si>
    <t>Decision Table</t>
  </si>
  <si>
    <t>Project</t>
  </si>
  <si>
    <t>Cost (Units)</t>
  </si>
  <si>
    <t>Select</t>
  </si>
  <si>
    <t>City Impact</t>
  </si>
  <si>
    <t>Road Repairs</t>
  </si>
  <si>
    <t>Yes</t>
  </si>
  <si>
    <t>School Improvements</t>
  </si>
  <si>
    <t>No</t>
  </si>
  <si>
    <t>Emergency Services</t>
  </si>
  <si>
    <t>Total Units Used</t>
  </si>
  <si>
    <t>Public Transportation</t>
  </si>
  <si>
    <t>Parks &amp; Recreation</t>
  </si>
  <si>
    <t>Actual Chapter 1 Impact</t>
  </si>
  <si>
    <t>Required Chapter 1 Impact</t>
  </si>
  <si>
    <t>Chapter 1 Check — Economics Concepts</t>
  </si>
  <si>
    <t>Answer all questions before submitting.</t>
  </si>
  <si>
    <t>Q1. A city must choose between repairing roads or expanding public transit because it cannot afford both. Which economic idea explains why the city must choose?</t>
  </si>
  <si>
    <t>A) Incentives</t>
  </si>
  <si>
    <t>B) Budget constraint</t>
  </si>
  <si>
    <t>C) Marginal cost</t>
  </si>
  <si>
    <t>D) Revenue</t>
  </si>
  <si>
    <t>Q2. When a city chooses to fund schools instead of parks, what is the opportunity cost?</t>
  </si>
  <si>
    <t>A) The money spent on schools</t>
  </si>
  <si>
    <t>B) The park project that was not chosen</t>
  </si>
  <si>
    <t>C) Higher taxes</t>
  </si>
  <si>
    <t>D) Future penalties</t>
  </si>
  <si>
    <t>Q3. Why do tradeoffs exist in economic decision-making?</t>
  </si>
  <si>
    <t>A) Because systems punish spending</t>
  </si>
  <si>
    <t>B) Because rules change</t>
  </si>
  <si>
    <t>C) Because resources are limited</t>
  </si>
  <si>
    <t>D) Because decisions are permanent</t>
  </si>
  <si>
    <t>Q4. A city delays a project because choosing it would prevent other important projects. This decision is best explained by:</t>
  </si>
  <si>
    <t>A) Revenue generation</t>
  </si>
  <si>
    <t>B) Opportunity cost</t>
  </si>
  <si>
    <t>C) Progressive penalties</t>
  </si>
  <si>
    <t>D) Incentives</t>
  </si>
  <si>
    <t>Q5. Which statement best describes a budget constraint?</t>
  </si>
  <si>
    <t>A) A rule that stops all spending</t>
  </si>
  <si>
    <t>B) A limit that forces choices between options</t>
  </si>
  <si>
    <t>C) A penalty for bad decisions</t>
  </si>
  <si>
    <t>D) A way to increase revenue</t>
  </si>
  <si>
    <t>Chapter 2 — Rising Costs</t>
  </si>
  <si>
    <t>Remaining Budget From Chapter 1 (Units):</t>
  </si>
  <si>
    <t xml:space="preserve">Chapter 2 Remaining Budget </t>
  </si>
  <si>
    <t>As more units are spent, each additional project becomes more expensive to manage.</t>
  </si>
  <si>
    <t>Base Cost</t>
  </si>
  <si>
    <t>Adjusted Cost</t>
  </si>
  <si>
    <t>Housing Repairs</t>
  </si>
  <si>
    <t>NO</t>
  </si>
  <si>
    <t>Water Systems</t>
  </si>
  <si>
    <t>YES</t>
  </si>
  <si>
    <t>Public Safety Tech</t>
  </si>
  <si>
    <t>Total City Impact From Chapter 2</t>
  </si>
  <si>
    <t>Required Impact Chapter 2</t>
  </si>
  <si>
    <t xml:space="preserve">TOTAL IMPACT FROM BOTH CHAPTERS </t>
  </si>
  <si>
    <t xml:space="preserve">Required Total Impact </t>
  </si>
  <si>
    <t xml:space="preserve">Sim Passed? </t>
  </si>
  <si>
    <t>Chapter 2 Check — Marginal Cost, Incentives, and Penalties</t>
  </si>
  <si>
    <t>Answer all questions. You must score at least 4 out of 5 to continue.</t>
  </si>
  <si>
    <t>Q1. A city notices that each additional project it approves becomes harder and more expensive to manage than earlier projects. Which economic concept best explains this?</t>
  </si>
  <si>
    <t>A) Budget constraint</t>
  </si>
  <si>
    <t>Q2. Why might a system intentionally make later decisions more expensive than earlier ones?</t>
  </si>
  <si>
    <t>A) To punish decision-makers</t>
  </si>
  <si>
    <t>B) To change behavior and encourage planning</t>
  </si>
  <si>
    <t>C) Because money disappears</t>
  </si>
  <si>
    <t>D) To reward spending</t>
  </si>
  <si>
    <t>Q3. A rule where costs increase the more a city spends is best described as:</t>
  </si>
  <si>
    <t>A) A fixed cost system</t>
  </si>
  <si>
    <t>B) A flat tax</t>
  </si>
  <si>
    <t xml:space="preserve">C) A progressive penalty system
</t>
  </si>
  <si>
    <t>D) A revenue cap</t>
  </si>
  <si>
    <t>Q4. If rising costs cause a city to slow down spending, what role are those rising costs playing?</t>
  </si>
  <si>
    <t>A) Revenue generator</t>
  </si>
  <si>
    <t>B) Random barrier</t>
  </si>
  <si>
    <t>C) Incentive</t>
  </si>
  <si>
    <t>D) Opportunity cost</t>
  </si>
  <si>
    <t>Q5. Why is marginal cost more important than total cost when making the next decision?</t>
  </si>
  <si>
    <t>A) Total cost does not matter</t>
  </si>
  <si>
    <t>B) Marginal cost shows the cost of one more choice</t>
  </si>
  <si>
    <t>C) Marginal cost includes past decisions</t>
  </si>
  <si>
    <t>D) Total cost predicts revenue</t>
  </si>
  <si>
    <t>Chapter 3 — Planning Ahead</t>
  </si>
  <si>
    <t xml:space="preserve">Budget From Ch. 2 </t>
  </si>
  <si>
    <t>Final Budget Left</t>
  </si>
  <si>
    <t>Choose ONE option for the city’s future.</t>
  </si>
  <si>
    <t>Option</t>
  </si>
  <si>
    <t>Emergency Reserve</t>
  </si>
  <si>
    <t>Long-Term Infrastructure</t>
  </si>
  <si>
    <t>Short-Term Improvements</t>
  </si>
  <si>
    <t xml:space="preserve">Chapter 3 Cost </t>
  </si>
  <si>
    <t>Chapter 3 Impact</t>
  </si>
  <si>
    <t>Total City Impact</t>
  </si>
  <si>
    <t>Chapter 3 Check — Tradeoffs and Option Value</t>
  </si>
  <si>
    <t>Q1:A city delays choosing a large project even though it looks beneficial right now. Why might this be a smart decision?</t>
  </si>
  <si>
    <t>A) It lowers total spending</t>
  </si>
  <si>
    <t>B) It avoids opportunity cost</t>
  </si>
  <si>
    <t xml:space="preserve">C) It keeps future choices available </t>
  </si>
  <si>
    <t xml:space="preserve">D) It increases revenue </t>
  </si>
  <si>
    <t>Q2. When a city commits all of its budget to one project, what does it lose most?</t>
  </si>
  <si>
    <t>A) Effiecency</t>
  </si>
  <si>
    <t>B) Flexibility</t>
  </si>
  <si>
    <t>C) Incentives</t>
  </si>
  <si>
    <t>D) Marginal Cost</t>
  </si>
  <si>
    <t>Q3. Why do long-term projects increase risk compared to short-term projects?</t>
  </si>
  <si>
    <t xml:space="preserve">A) They always cost more
</t>
  </si>
  <si>
    <t>B) They reduce the ability to change later</t>
  </si>
  <si>
    <t xml:space="preserve">C) They require higher taxes
</t>
  </si>
  <si>
    <t>D) They eliminate opportunity cost</t>
  </si>
  <si>
    <t>Q4. A city chooses a smaller project so it can respond to emergencies later. Which idea best explains this choice?</t>
  </si>
  <si>
    <t>A) Marginal cost</t>
  </si>
  <si>
    <t>C) Option Value</t>
  </si>
  <si>
    <t>D) Progressive penalties</t>
  </si>
  <si>
    <t>Q5. Which decision best shows a tradeoff?</t>
  </si>
  <si>
    <t>A) Increasing the budget</t>
  </si>
  <si>
    <t>B) Choosing one project and rejecting another</t>
  </si>
  <si>
    <t xml:space="preserve">C) Saving money
</t>
  </si>
  <si>
    <t>D) Waiting for more information</t>
  </si>
  <si>
    <t>Final Economics Check — All Concepts</t>
  </si>
  <si>
    <t>You must score at least 3 out of 5 to earn a claim code.</t>
  </si>
  <si>
    <t>Q1. Which concept explains why choosing one option automatically means giving up another?</t>
  </si>
  <si>
    <t>C) Revenue</t>
  </si>
  <si>
    <t>Q2. Which concept focuses on the cost of making one additional decision?</t>
  </si>
  <si>
    <t>B) Total cost</t>
  </si>
  <si>
    <t>D) Option value</t>
  </si>
  <si>
    <t>Q3. Why do systems use penalties that increase as behavior continues?</t>
  </si>
  <si>
    <t>A) To reward early decisions</t>
  </si>
  <si>
    <t>B) To make systems fair</t>
  </si>
  <si>
    <t>C) To influence future behavior</t>
  </si>
  <si>
    <t>Q4. Which idea best explains why flexibility can be more valuable than short-term gains?</t>
  </si>
  <si>
    <t>B) Revenue</t>
  </si>
  <si>
    <t>C) Option value</t>
  </si>
  <si>
    <t>D) Budget constraint</t>
  </si>
  <si>
    <t>Q5. A city avoids spending all its resources so it can respond to unexpected events later. Which concept best explains this reasoning?</t>
  </si>
  <si>
    <t>A) Opportunity cost</t>
  </si>
  <si>
    <t>B) Marginal cost</t>
  </si>
  <si>
    <t>Final Results</t>
  </si>
  <si>
    <t>Content</t>
  </si>
  <si>
    <t>Simulation Score (35%)</t>
  </si>
  <si>
    <t>MCQ Score (65%)</t>
  </si>
  <si>
    <t>formula</t>
  </si>
  <si>
    <t>Key</t>
  </si>
  <si>
    <t>Value</t>
  </si>
  <si>
    <t>Section</t>
  </si>
  <si>
    <t>Item</t>
  </si>
  <si>
    <t>Data</t>
  </si>
  <si>
    <t>STATUS</t>
  </si>
  <si>
    <t>NOT_STARTED</t>
  </si>
  <si>
    <t>TOTAL_UNITS</t>
  </si>
  <si>
    <t>REMAINING_UNITS</t>
  </si>
  <si>
    <t>SIM_SCORE</t>
  </si>
  <si>
    <t>MCQ_SCORE</t>
  </si>
  <si>
    <t>FINAL_SCORE</t>
  </si>
  <si>
    <t>CLAIM_CODE</t>
  </si>
  <si>
    <t>CH1_MCQ</t>
  </si>
  <si>
    <t>Q1</t>
  </si>
  <si>
    <t>B</t>
  </si>
  <si>
    <t>Q2</t>
  </si>
  <si>
    <t>Q3</t>
  </si>
  <si>
    <t>C</t>
  </si>
  <si>
    <t>Q4</t>
  </si>
  <si>
    <t>Q5</t>
  </si>
  <si>
    <t>CH2_MCQ</t>
  </si>
  <si>
    <t>CH3_MCQ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</si>
</sst>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Arial"/>
      <scheme val="minor"/>
    </font>
    <font>
      <sz val="11.0"/>
      <color rgb="FF000000"/>
      <name val="Arial"/>
      <scheme val="minor"/>
    </font>
    <font>
      <b/>
      <sz val="10.0"/>
      <color rgb="FF000000"/>
      <name val="Arial"/>
      <scheme val="minor"/>
    </font>
    <font>
      <sz val="10.0"/>
      <color rgb="FF000000"/>
      <name val="Comfortaa"/>
    </font>
    <font>
      <color theme="1"/>
      <name val="Comfortaa"/>
    </font>
    <font>
      <sz val="12.0"/>
      <color rgb="FF000000"/>
      <name val="Comfortaa"/>
    </font>
    <font>
      <sz val="11.0"/>
      <color rgb="FF000000"/>
      <name val="Comfortaa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4" numFmtId="0" xfId="0" applyFont="1"/>
    <xf borderId="0" fillId="0" fontId="7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10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1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85200C"/>
          <bgColor rgb="FF85200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/>
    </row>
    <row r="3">
      <c r="A3" s="2" t="s">
        <v>1</v>
      </c>
    </row>
    <row r="4">
      <c r="A4" s="2" t="s">
        <v>2</v>
      </c>
    </row>
    <row r="6">
      <c r="A6" s="2" t="s">
        <v>3</v>
      </c>
    </row>
    <row r="8">
      <c r="A8" s="2" t="s">
        <v>4</v>
      </c>
    </row>
    <row r="9">
      <c r="A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4" max="4" width="27.38"/>
  </cols>
  <sheetData>
    <row r="1">
      <c r="A1" s="1" t="s">
        <v>5</v>
      </c>
      <c r="B1" s="3"/>
    </row>
    <row r="2">
      <c r="A2" s="1"/>
    </row>
    <row r="3">
      <c r="A3" s="2" t="s">
        <v>6</v>
      </c>
      <c r="B3" s="1">
        <v>100.0</v>
      </c>
    </row>
    <row r="4">
      <c r="A4" s="1" t="s">
        <v>7</v>
      </c>
      <c r="B4" s="4">
        <f>B3-B12</f>
        <v>65</v>
      </c>
    </row>
    <row r="5">
      <c r="A5" s="1"/>
    </row>
    <row r="6">
      <c r="A6" s="2" t="s">
        <v>8</v>
      </c>
    </row>
    <row r="7">
      <c r="A7" s="3"/>
      <c r="B7" s="3"/>
      <c r="C7" s="3"/>
      <c r="D7" s="3" t="s">
        <v>9</v>
      </c>
      <c r="E7" s="3"/>
      <c r="F7" s="3"/>
    </row>
    <row r="8">
      <c r="D8" s="1" t="s">
        <v>10</v>
      </c>
      <c r="E8" s="1" t="s">
        <v>11</v>
      </c>
      <c r="F8" s="1" t="s">
        <v>12</v>
      </c>
      <c r="G8" s="5" t="s">
        <v>13</v>
      </c>
    </row>
    <row r="9">
      <c r="D9" s="1" t="s">
        <v>14</v>
      </c>
      <c r="E9" s="1">
        <v>20.0</v>
      </c>
      <c r="F9" s="1" t="s">
        <v>15</v>
      </c>
      <c r="G9" s="5">
        <v>22.0</v>
      </c>
    </row>
    <row r="10">
      <c r="D10" s="1" t="s">
        <v>16</v>
      </c>
      <c r="E10" s="1">
        <v>30.0</v>
      </c>
      <c r="F10" s="1" t="s">
        <v>17</v>
      </c>
      <c r="G10" s="5">
        <v>27.0</v>
      </c>
    </row>
    <row r="11">
      <c r="D11" s="1" t="s">
        <v>18</v>
      </c>
      <c r="E11" s="1">
        <v>25.0</v>
      </c>
      <c r="F11" s="1" t="s">
        <v>17</v>
      </c>
      <c r="G11" s="5">
        <v>24.0</v>
      </c>
    </row>
    <row r="12">
      <c r="A12" s="6" t="s">
        <v>19</v>
      </c>
      <c r="B12" s="7">
        <f>SUMIF(F9:F13,"Yes",E9:E13)</f>
        <v>35</v>
      </c>
      <c r="D12" s="1" t="s">
        <v>20</v>
      </c>
      <c r="E12" s="1">
        <v>35.0</v>
      </c>
      <c r="F12" s="1"/>
      <c r="G12" s="5">
        <v>35.0</v>
      </c>
    </row>
    <row r="13">
      <c r="D13" s="1" t="s">
        <v>21</v>
      </c>
      <c r="E13" s="1">
        <v>15.0</v>
      </c>
      <c r="F13" s="1" t="s">
        <v>15</v>
      </c>
      <c r="G13" s="5">
        <v>10.0</v>
      </c>
    </row>
    <row r="16">
      <c r="D16" s="5" t="s">
        <v>22</v>
      </c>
      <c r="E16" s="4">
        <f>SUMIF(F8:F13,"Yes",E8:E13)</f>
        <v>35</v>
      </c>
    </row>
    <row r="17">
      <c r="D17" s="5" t="s">
        <v>23</v>
      </c>
      <c r="E17" s="5">
        <v>30.0</v>
      </c>
    </row>
    <row r="18">
      <c r="E18" s="4" t="str">
        <f>IF(E16&gt;=E17,"OK","FAIL: City Stagnated in Chapter 1")</f>
        <v>OK</v>
      </c>
    </row>
  </sheetData>
  <conditionalFormatting sqref="B4">
    <cfRule type="cellIs" dxfId="0" priority="1" operator="lessThan">
      <formula>0</formula>
    </cfRule>
  </conditionalFormatting>
  <dataValidations>
    <dataValidation type="list" allowBlank="1" showErrorMessage="1" sqref="F9:F13">
      <formula1>"Yes,No"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</cols>
  <sheetData>
    <row r="1">
      <c r="A1" s="8" t="s">
        <v>24</v>
      </c>
    </row>
    <row r="3">
      <c r="A3" s="2" t="s">
        <v>25</v>
      </c>
    </row>
    <row r="5">
      <c r="A5" s="9" t="s">
        <v>26</v>
      </c>
      <c r="B5" s="1"/>
    </row>
    <row r="6">
      <c r="A6" s="1" t="s">
        <v>27</v>
      </c>
    </row>
    <row r="7">
      <c r="A7" s="1" t="s">
        <v>28</v>
      </c>
    </row>
    <row r="8">
      <c r="A8" s="1" t="s">
        <v>29</v>
      </c>
    </row>
    <row r="9">
      <c r="A9" s="1" t="s">
        <v>30</v>
      </c>
    </row>
    <row r="10">
      <c r="A10" s="1"/>
    </row>
    <row r="11">
      <c r="A11" s="9" t="s">
        <v>31</v>
      </c>
      <c r="B11" s="1"/>
    </row>
    <row r="12">
      <c r="A12" s="1" t="s">
        <v>32</v>
      </c>
    </row>
    <row r="13">
      <c r="A13" s="1" t="s">
        <v>33</v>
      </c>
    </row>
    <row r="14">
      <c r="A14" s="1" t="s">
        <v>34</v>
      </c>
    </row>
    <row r="15">
      <c r="A15" s="1" t="s">
        <v>35</v>
      </c>
    </row>
    <row r="16">
      <c r="A16" s="1"/>
    </row>
    <row r="17">
      <c r="A17" s="3"/>
      <c r="B17" s="3"/>
    </row>
    <row r="18">
      <c r="A18" s="9" t="s">
        <v>36</v>
      </c>
      <c r="B18" s="1"/>
    </row>
    <row r="19">
      <c r="A19" s="1" t="s">
        <v>37</v>
      </c>
    </row>
    <row r="20">
      <c r="A20" s="1" t="s">
        <v>38</v>
      </c>
    </row>
    <row r="21">
      <c r="A21" s="1" t="s">
        <v>39</v>
      </c>
    </row>
    <row r="22">
      <c r="A22" s="1" t="s">
        <v>40</v>
      </c>
    </row>
    <row r="24">
      <c r="A24" s="3"/>
      <c r="B24" s="3"/>
    </row>
    <row r="25">
      <c r="A25" s="9" t="s">
        <v>41</v>
      </c>
      <c r="B25" s="1"/>
    </row>
    <row r="26">
      <c r="A26" s="1" t="s">
        <v>42</v>
      </c>
    </row>
    <row r="27">
      <c r="A27" s="1" t="s">
        <v>43</v>
      </c>
    </row>
    <row r="28">
      <c r="A28" s="1" t="s">
        <v>44</v>
      </c>
    </row>
    <row r="29">
      <c r="A29" s="1" t="s">
        <v>45</v>
      </c>
    </row>
    <row r="31">
      <c r="A31" s="3"/>
      <c r="B31" s="3"/>
    </row>
    <row r="32">
      <c r="A32" s="9" t="s">
        <v>46</v>
      </c>
      <c r="B32" s="1"/>
    </row>
    <row r="33">
      <c r="A33" s="1" t="s">
        <v>47</v>
      </c>
    </row>
    <row r="34">
      <c r="A34" s="1" t="s">
        <v>48</v>
      </c>
    </row>
    <row r="35">
      <c r="A35" s="1" t="s">
        <v>49</v>
      </c>
    </row>
    <row r="36">
      <c r="A36" s="1" t="s">
        <v>50</v>
      </c>
    </row>
    <row r="37">
      <c r="A37" s="1"/>
      <c r="B37" s="1"/>
    </row>
  </sheetData>
  <dataValidations>
    <dataValidation type="list" allowBlank="1" showErrorMessage="1" sqref="B5 B11 B18 B25 B32">
      <formula1>"A,B,C,D"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63"/>
    <col customWidth="1" min="3" max="3" width="33.38"/>
  </cols>
  <sheetData>
    <row r="1">
      <c r="A1" s="6" t="s">
        <v>51</v>
      </c>
    </row>
    <row r="3">
      <c r="A3" s="10" t="s">
        <v>52</v>
      </c>
      <c r="B3" s="11">
        <f> CH1_SIM!$B$4 - $D$5
</f>
        <v>65</v>
      </c>
      <c r="C3" s="5" t="s">
        <v>53</v>
      </c>
      <c r="D3" s="4">
        <f>B3 - SUMIF(D8:D10,"Yes",C8:C10)
</f>
        <v>28.33333333</v>
      </c>
      <c r="E3" s="4" t="str">
        <f>IF(D3&lt;0,"FAIL: Budget Exceeded","OK")</f>
        <v>OK</v>
      </c>
    </row>
    <row r="5">
      <c r="A5" s="2" t="s">
        <v>54</v>
      </c>
    </row>
    <row r="7">
      <c r="A7" s="1" t="s">
        <v>10</v>
      </c>
      <c r="B7" s="1" t="s">
        <v>55</v>
      </c>
      <c r="C7" s="1" t="s">
        <v>56</v>
      </c>
      <c r="D7" s="1" t="s">
        <v>12</v>
      </c>
      <c r="E7" s="5" t="s">
        <v>13</v>
      </c>
    </row>
    <row r="8">
      <c r="A8" s="1" t="s">
        <v>57</v>
      </c>
      <c r="B8" s="1">
        <v>20.0</v>
      </c>
      <c r="C8" s="1">
        <f t="shared" ref="C8:C10" si="1">IF(D8="Yes", B8 + G$10/3, B8)
</f>
        <v>20</v>
      </c>
      <c r="D8" s="1" t="s">
        <v>58</v>
      </c>
      <c r="E8" s="5">
        <v>30.0</v>
      </c>
    </row>
    <row r="9">
      <c r="A9" s="1" t="s">
        <v>59</v>
      </c>
      <c r="B9" s="1">
        <v>25.0</v>
      </c>
      <c r="C9" s="1">
        <f t="shared" si="1"/>
        <v>36.66666667</v>
      </c>
      <c r="D9" s="1" t="s">
        <v>60</v>
      </c>
      <c r="E9" s="5">
        <v>40.0</v>
      </c>
    </row>
    <row r="10">
      <c r="A10" s="1" t="s">
        <v>61</v>
      </c>
      <c r="B10" s="1">
        <v>30.0</v>
      </c>
      <c r="C10" s="1">
        <f t="shared" si="1"/>
        <v>30</v>
      </c>
      <c r="D10" s="1" t="s">
        <v>58</v>
      </c>
      <c r="E10" s="5">
        <v>50.0</v>
      </c>
      <c r="G10" s="4">
        <f>100 - B3
</f>
        <v>35</v>
      </c>
    </row>
    <row r="12">
      <c r="D12" s="5" t="s">
        <v>62</v>
      </c>
      <c r="E12" s="4">
        <f>SUMIF(D8:D10,"Yes",E8:E10)</f>
        <v>40</v>
      </c>
    </row>
    <row r="13">
      <c r="D13" s="5" t="s">
        <v>63</v>
      </c>
      <c r="E13" s="5">
        <v>40.0</v>
      </c>
    </row>
    <row r="15">
      <c r="D15" s="5" t="s">
        <v>64</v>
      </c>
      <c r="E15" s="4">
        <f>CH1_SIM!E16 + E12</f>
        <v>75</v>
      </c>
    </row>
    <row r="16">
      <c r="D16" s="5" t="s">
        <v>65</v>
      </c>
      <c r="E16" s="5">
        <v>70.0</v>
      </c>
    </row>
    <row r="17">
      <c r="E17" s="4" t="str">
        <f>IF(E15&gt;=E16,"OK","FAIL: City Did Not Improve Enough")
</f>
        <v>OK</v>
      </c>
    </row>
    <row r="25">
      <c r="F25" s="5" t="s">
        <v>66</v>
      </c>
    </row>
  </sheetData>
  <dataValidations>
    <dataValidation type="list" allowBlank="1" showErrorMessage="1" sqref="D8:D10">
      <formula1>"YES,NO"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</cols>
  <sheetData>
    <row r="1">
      <c r="A1" s="12" t="s">
        <v>67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5" t="s">
        <v>68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6" t="s">
        <v>69</v>
      </c>
      <c r="B5" s="15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7" t="s">
        <v>70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5" t="s">
        <v>43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5" t="s">
        <v>29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5" t="s">
        <v>30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8" t="s">
        <v>71</v>
      </c>
      <c r="B11" s="1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5" t="s">
        <v>72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5" t="s">
        <v>73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5" t="s">
        <v>74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5" t="s">
        <v>75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8" t="s">
        <v>76</v>
      </c>
      <c r="B18" s="15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5" t="s">
        <v>77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5" t="s">
        <v>78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5" t="s">
        <v>79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5" t="s">
        <v>80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8" t="s">
        <v>81</v>
      </c>
      <c r="B25" s="15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5" t="s">
        <v>82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5" t="s">
        <v>83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5" t="s">
        <v>84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5" t="s">
        <v>85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8" t="s">
        <v>86</v>
      </c>
      <c r="B32" s="15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5" t="s">
        <v>87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5" t="s">
        <v>88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5" t="s">
        <v>89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5" t="s">
        <v>90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dataValidations>
    <dataValidation type="list" allowBlank="1" showErrorMessage="1" sqref="B5 B11 B18 B25 B32">
      <formula1>"A,B,C,D"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3" max="3" width="28.88"/>
  </cols>
  <sheetData>
    <row r="1">
      <c r="A1" s="6" t="s">
        <v>91</v>
      </c>
      <c r="C1" s="5" t="s">
        <v>92</v>
      </c>
      <c r="D1" s="4">
        <f>CH2_SIM!D3</f>
        <v>28.33333333</v>
      </c>
    </row>
    <row r="2">
      <c r="C2" s="5" t="s">
        <v>93</v>
      </c>
      <c r="D2" s="4">
        <f>D1-C11</f>
        <v>3.333333333</v>
      </c>
      <c r="E2" s="4" t="str">
        <f>IF(D11&lt;0,"FAIL BUDGET","PASS BUDGET")
</f>
        <v>PASS BUDGET</v>
      </c>
    </row>
    <row r="3">
      <c r="A3" s="2" t="s">
        <v>94</v>
      </c>
    </row>
    <row r="5">
      <c r="A5" s="3"/>
      <c r="B5" s="3"/>
      <c r="C5" s="3"/>
    </row>
    <row r="6">
      <c r="A6" s="1" t="s">
        <v>95</v>
      </c>
      <c r="B6" s="1" t="s">
        <v>11</v>
      </c>
      <c r="C6" s="1" t="s">
        <v>12</v>
      </c>
      <c r="D6" s="5" t="s">
        <v>13</v>
      </c>
    </row>
    <row r="7">
      <c r="A7" s="1" t="s">
        <v>96</v>
      </c>
      <c r="B7" s="1">
        <v>20.0</v>
      </c>
      <c r="C7" s="1" t="s">
        <v>58</v>
      </c>
      <c r="D7" s="5">
        <v>20.0</v>
      </c>
    </row>
    <row r="8">
      <c r="A8" s="1" t="s">
        <v>97</v>
      </c>
      <c r="B8" s="1">
        <v>30.0</v>
      </c>
      <c r="C8" s="1" t="s">
        <v>58</v>
      </c>
      <c r="D8" s="5">
        <v>45.0</v>
      </c>
    </row>
    <row r="9">
      <c r="A9" s="1" t="s">
        <v>98</v>
      </c>
      <c r="B9" s="1">
        <v>25.0</v>
      </c>
      <c r="C9" s="1" t="s">
        <v>60</v>
      </c>
      <c r="D9" s="5">
        <v>30.0</v>
      </c>
    </row>
    <row r="11">
      <c r="B11" s="5" t="s">
        <v>99</v>
      </c>
      <c r="C11" s="4">
        <f>SUMIF(C7:C9,"Yes",B7:B9)</f>
        <v>25</v>
      </c>
      <c r="D11" s="5" t="s">
        <v>100</v>
      </c>
      <c r="E11" s="4">
        <f>SUMIF(C7:C9,"Yes",D7:D9)</f>
        <v>30</v>
      </c>
    </row>
    <row r="13">
      <c r="D13" s="5" t="s">
        <v>101</v>
      </c>
      <c r="E13" s="4">
        <f>E11+CH2_SIM!E15</f>
        <v>105</v>
      </c>
    </row>
    <row r="14">
      <c r="E14" s="4" t="str">
        <f>IF(E13&gt;100,"City Impact Passed","City Impact Failed)")</f>
        <v>City Impact Passed</v>
      </c>
    </row>
  </sheetData>
  <dataValidations>
    <dataValidation type="list" allowBlank="1" showErrorMessage="1" sqref="C7:C9">
      <formula1>"YES,NO"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</cols>
  <sheetData>
    <row r="1">
      <c r="A1" s="5" t="s">
        <v>102</v>
      </c>
    </row>
    <row r="3">
      <c r="A3" s="5" t="s">
        <v>68</v>
      </c>
    </row>
    <row r="5">
      <c r="A5" s="18" t="s">
        <v>103</v>
      </c>
      <c r="B5" s="13"/>
    </row>
    <row r="6">
      <c r="A6" s="17" t="s">
        <v>104</v>
      </c>
      <c r="B6" s="13"/>
    </row>
    <row r="7">
      <c r="A7" s="15" t="s">
        <v>105</v>
      </c>
      <c r="B7" s="13"/>
    </row>
    <row r="8">
      <c r="A8" s="15" t="s">
        <v>106</v>
      </c>
      <c r="B8" s="13"/>
    </row>
    <row r="9">
      <c r="A9" s="15" t="s">
        <v>107</v>
      </c>
      <c r="B9" s="13"/>
    </row>
    <row r="10">
      <c r="A10" s="13"/>
      <c r="B10" s="13"/>
    </row>
    <row r="11">
      <c r="A11" s="18" t="s">
        <v>108</v>
      </c>
      <c r="B11" s="13"/>
    </row>
    <row r="12">
      <c r="A12" s="15" t="s">
        <v>109</v>
      </c>
      <c r="B12" s="13"/>
    </row>
    <row r="13">
      <c r="A13" s="15" t="s">
        <v>110</v>
      </c>
      <c r="B13" s="13"/>
    </row>
    <row r="14">
      <c r="A14" s="15" t="s">
        <v>111</v>
      </c>
      <c r="B14" s="13"/>
    </row>
    <row r="15">
      <c r="A15" s="15" t="s">
        <v>112</v>
      </c>
      <c r="B15" s="13"/>
    </row>
    <row r="16">
      <c r="A16" s="13"/>
      <c r="B16" s="13"/>
    </row>
    <row r="17">
      <c r="A17" s="13"/>
      <c r="B17" s="13"/>
    </row>
    <row r="18">
      <c r="A18" s="18" t="s">
        <v>113</v>
      </c>
      <c r="B18" s="13"/>
    </row>
    <row r="19">
      <c r="A19" s="15" t="s">
        <v>114</v>
      </c>
      <c r="B19" s="13"/>
    </row>
    <row r="20">
      <c r="A20" s="15" t="s">
        <v>115</v>
      </c>
      <c r="B20" s="13"/>
    </row>
    <row r="21">
      <c r="A21" s="15" t="s">
        <v>116</v>
      </c>
      <c r="B21" s="13"/>
    </row>
    <row r="22">
      <c r="A22" s="15" t="s">
        <v>117</v>
      </c>
      <c r="B22" s="13"/>
    </row>
    <row r="23">
      <c r="A23" s="13"/>
      <c r="B23" s="13"/>
    </row>
    <row r="24">
      <c r="A24" s="13"/>
      <c r="B24" s="13"/>
    </row>
    <row r="25">
      <c r="A25" s="18" t="s">
        <v>118</v>
      </c>
      <c r="B25" s="13"/>
    </row>
    <row r="26">
      <c r="A26" s="15" t="s">
        <v>119</v>
      </c>
      <c r="B26" s="13"/>
    </row>
    <row r="27">
      <c r="A27" s="15" t="s">
        <v>43</v>
      </c>
      <c r="B27" s="13"/>
    </row>
    <row r="28">
      <c r="A28" s="15" t="s">
        <v>120</v>
      </c>
      <c r="B28" s="13"/>
    </row>
    <row r="29">
      <c r="A29" s="15" t="s">
        <v>121</v>
      </c>
      <c r="B29" s="13"/>
    </row>
    <row r="30">
      <c r="A30" s="13"/>
      <c r="B30" s="13"/>
    </row>
    <row r="31">
      <c r="A31" s="13"/>
      <c r="B31" s="13"/>
    </row>
    <row r="32">
      <c r="A32" s="18" t="s">
        <v>122</v>
      </c>
      <c r="B32" s="13"/>
    </row>
    <row r="33">
      <c r="A33" s="15" t="s">
        <v>123</v>
      </c>
      <c r="B33" s="13"/>
    </row>
    <row r="34">
      <c r="A34" s="15" t="s">
        <v>124</v>
      </c>
      <c r="B34" s="13"/>
    </row>
    <row r="35">
      <c r="A35" s="15" t="s">
        <v>125</v>
      </c>
      <c r="B35" s="13"/>
    </row>
    <row r="36">
      <c r="A36" s="15" t="s">
        <v>126</v>
      </c>
      <c r="B36" s="13"/>
    </row>
    <row r="37">
      <c r="A37" s="13"/>
      <c r="B37" s="13"/>
    </row>
  </sheetData>
  <dataValidations>
    <dataValidation type="list" allowBlank="1" showErrorMessage="1" sqref="B5 B11 B18 B25 B32">
      <formula1>"A,B,C,D"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</cols>
  <sheetData>
    <row r="1">
      <c r="A1" s="5" t="s">
        <v>127</v>
      </c>
    </row>
    <row r="2">
      <c r="A2" s="5" t="s">
        <v>128</v>
      </c>
    </row>
    <row r="5">
      <c r="A5" s="19" t="s">
        <v>129</v>
      </c>
      <c r="B5" s="13"/>
    </row>
    <row r="6">
      <c r="A6" s="5" t="s">
        <v>27</v>
      </c>
    </row>
    <row r="7">
      <c r="A7" s="5" t="s">
        <v>43</v>
      </c>
    </row>
    <row r="8">
      <c r="A8" s="5" t="s">
        <v>130</v>
      </c>
    </row>
    <row r="9">
      <c r="A9" s="5" t="s">
        <v>121</v>
      </c>
    </row>
    <row r="11">
      <c r="A11" s="19" t="s">
        <v>131</v>
      </c>
      <c r="B11" s="13"/>
    </row>
    <row r="12">
      <c r="A12" s="5" t="s">
        <v>70</v>
      </c>
    </row>
    <row r="13">
      <c r="A13" s="5" t="s">
        <v>132</v>
      </c>
    </row>
    <row r="14">
      <c r="A14" s="5" t="s">
        <v>29</v>
      </c>
    </row>
    <row r="15">
      <c r="A15" s="5" t="s">
        <v>133</v>
      </c>
    </row>
    <row r="18">
      <c r="A18" s="19" t="s">
        <v>134</v>
      </c>
      <c r="B18" s="13"/>
    </row>
    <row r="19">
      <c r="A19" s="5" t="s">
        <v>135</v>
      </c>
    </row>
    <row r="20">
      <c r="A20" s="5" t="s">
        <v>136</v>
      </c>
    </row>
    <row r="21">
      <c r="A21" s="5" t="s">
        <v>137</v>
      </c>
    </row>
    <row r="25">
      <c r="A25" s="19" t="s">
        <v>138</v>
      </c>
      <c r="B25" s="13"/>
    </row>
    <row r="26">
      <c r="A26" s="5" t="s">
        <v>27</v>
      </c>
    </row>
    <row r="27">
      <c r="A27" s="5" t="s">
        <v>139</v>
      </c>
    </row>
    <row r="28">
      <c r="A28" s="5" t="s">
        <v>140</v>
      </c>
    </row>
    <row r="29">
      <c r="A29" s="5" t="s">
        <v>141</v>
      </c>
    </row>
    <row r="32">
      <c r="A32" s="19" t="s">
        <v>142</v>
      </c>
      <c r="B32" s="13"/>
    </row>
    <row r="33">
      <c r="A33" s="5" t="s">
        <v>143</v>
      </c>
    </row>
    <row r="34">
      <c r="A34" s="5" t="s">
        <v>144</v>
      </c>
    </row>
    <row r="35">
      <c r="A35" s="5" t="s">
        <v>140</v>
      </c>
    </row>
    <row r="36">
      <c r="A36" s="5" t="s">
        <v>121</v>
      </c>
    </row>
  </sheetData>
  <dataValidations>
    <dataValidation type="list" allowBlank="1" showErrorMessage="1" sqref="B5 B11 B18 B25 B32">
      <formula1>"A,B,C,D"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145</v>
      </c>
      <c r="B1" s="3" t="s">
        <v>146</v>
      </c>
    </row>
    <row r="2">
      <c r="A2" s="1"/>
    </row>
    <row r="3">
      <c r="A3" s="1" t="s">
        <v>147</v>
      </c>
      <c r="B3" s="4" t="str">
        <f>IF(AND(CH3_SIM!E2="PASS BUDGET", CH3_SIM!E14="City Impact Passed"), "SIMULATION PASSED", "SIMULATION FAILED")
</f>
        <v>SIMULATION PASSED</v>
      </c>
    </row>
    <row r="4">
      <c r="A4" s="1" t="s">
        <v>148</v>
      </c>
      <c r="B4" s="1" t="s">
        <v>149</v>
      </c>
    </row>
    <row r="5">
      <c r="A5" s="1"/>
    </row>
    <row r="6">
      <c r="A6" s="1"/>
    </row>
    <row r="7">
      <c r="A7" s="1"/>
    </row>
    <row r="8">
      <c r="A8" s="1"/>
      <c r="B8" s="1"/>
    </row>
    <row r="9">
      <c r="A9" s="1"/>
      <c r="B9" s="1"/>
    </row>
    <row r="10">
      <c r="A10" s="1"/>
      <c r="B10" s="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</row>
    <row r="2">
      <c r="A2" s="1" t="s">
        <v>155</v>
      </c>
      <c r="B2" s="1" t="s">
        <v>156</v>
      </c>
      <c r="C2" s="3"/>
    </row>
    <row r="3">
      <c r="A3" s="1" t="s">
        <v>157</v>
      </c>
      <c r="B3" s="1">
        <v>100.0</v>
      </c>
    </row>
    <row r="4">
      <c r="A4" s="1" t="s">
        <v>158</v>
      </c>
      <c r="B4" s="1">
        <v>100.0</v>
      </c>
    </row>
    <row r="5">
      <c r="A5" s="1" t="s">
        <v>159</v>
      </c>
      <c r="B5" s="1">
        <v>0.0</v>
      </c>
    </row>
    <row r="6">
      <c r="A6" s="1" t="s">
        <v>160</v>
      </c>
      <c r="B6" s="1">
        <v>0.0</v>
      </c>
    </row>
    <row r="7">
      <c r="A7" s="1" t="s">
        <v>161</v>
      </c>
      <c r="B7" s="1">
        <v>0.0</v>
      </c>
    </row>
    <row r="8">
      <c r="A8" s="1" t="s">
        <v>162</v>
      </c>
    </row>
    <row r="9">
      <c r="A9" s="1"/>
    </row>
    <row r="10">
      <c r="A10" s="3"/>
      <c r="C10" s="1" t="s">
        <v>163</v>
      </c>
      <c r="D10" s="1" t="s">
        <v>164</v>
      </c>
      <c r="E10" s="1" t="s">
        <v>165</v>
      </c>
    </row>
    <row r="11">
      <c r="A11" s="1"/>
      <c r="C11" s="1" t="s">
        <v>163</v>
      </c>
      <c r="D11" s="1" t="s">
        <v>166</v>
      </c>
      <c r="E11" s="1" t="s">
        <v>165</v>
      </c>
    </row>
    <row r="12">
      <c r="A12" s="1"/>
      <c r="C12" s="1" t="s">
        <v>163</v>
      </c>
      <c r="D12" s="1" t="s">
        <v>167</v>
      </c>
      <c r="E12" s="1" t="s">
        <v>168</v>
      </c>
    </row>
    <row r="13">
      <c r="A13" s="1"/>
      <c r="C13" s="1" t="s">
        <v>163</v>
      </c>
      <c r="D13" s="1" t="s">
        <v>169</v>
      </c>
      <c r="E13" s="1" t="s">
        <v>165</v>
      </c>
    </row>
    <row r="14">
      <c r="A14" s="1"/>
      <c r="C14" s="1" t="s">
        <v>163</v>
      </c>
      <c r="D14" s="1" t="s">
        <v>170</v>
      </c>
      <c r="E14" s="1" t="s">
        <v>165</v>
      </c>
    </row>
    <row r="15">
      <c r="A15" s="1"/>
      <c r="C15" s="1" t="s">
        <v>171</v>
      </c>
      <c r="D15" s="1" t="s">
        <v>164</v>
      </c>
      <c r="E15" s="1" t="s">
        <v>168</v>
      </c>
      <c r="F15" s="3"/>
    </row>
    <row r="16">
      <c r="C16" s="1" t="s">
        <v>171</v>
      </c>
      <c r="D16" s="1" t="s">
        <v>166</v>
      </c>
      <c r="E16" s="1" t="s">
        <v>165</v>
      </c>
    </row>
    <row r="17">
      <c r="C17" s="1" t="s">
        <v>171</v>
      </c>
      <c r="D17" s="1" t="s">
        <v>167</v>
      </c>
      <c r="E17" s="1" t="s">
        <v>168</v>
      </c>
    </row>
    <row r="18">
      <c r="C18" s="1" t="s">
        <v>171</v>
      </c>
      <c r="D18" s="1" t="s">
        <v>169</v>
      </c>
      <c r="E18" s="1" t="s">
        <v>168</v>
      </c>
    </row>
    <row r="19">
      <c r="C19" s="1" t="s">
        <v>171</v>
      </c>
      <c r="D19" s="1" t="s">
        <v>170</v>
      </c>
      <c r="E19" s="1" t="s">
        <v>165</v>
      </c>
    </row>
    <row r="20">
      <c r="B20" s="3"/>
      <c r="C20" s="1"/>
      <c r="D20" s="1"/>
      <c r="E20" s="1"/>
    </row>
    <row r="21">
      <c r="B21" s="1"/>
      <c r="C21" s="1"/>
      <c r="D21" s="1"/>
      <c r="E21" s="1"/>
    </row>
    <row r="22">
      <c r="B22" s="1"/>
      <c r="C22" s="1"/>
      <c r="D22" s="1"/>
      <c r="E22" s="1"/>
    </row>
    <row r="23">
      <c r="B23" s="1"/>
      <c r="C23" s="1"/>
      <c r="D23" s="1"/>
      <c r="E23" s="1"/>
    </row>
    <row r="24">
      <c r="B24" s="1"/>
      <c r="C24" s="1"/>
      <c r="D24" s="1"/>
      <c r="E24" s="1"/>
    </row>
    <row r="25">
      <c r="B25" s="1"/>
      <c r="C25" s="20" t="s">
        <v>172</v>
      </c>
      <c r="D25" s="20" t="s">
        <v>164</v>
      </c>
      <c r="E25" s="20" t="s">
        <v>168</v>
      </c>
    </row>
    <row r="26">
      <c r="C26" s="21" t="s">
        <v>172</v>
      </c>
      <c r="D26" s="21" t="s">
        <v>166</v>
      </c>
      <c r="E26" s="22" t="s">
        <v>165</v>
      </c>
    </row>
    <row r="27">
      <c r="C27" s="21" t="s">
        <v>172</v>
      </c>
      <c r="D27" s="21" t="s">
        <v>167</v>
      </c>
      <c r="E27" s="22" t="s">
        <v>165</v>
      </c>
    </row>
    <row r="28">
      <c r="C28" s="21" t="s">
        <v>172</v>
      </c>
      <c r="D28" s="21" t="s">
        <v>169</v>
      </c>
      <c r="E28" s="21" t="s">
        <v>168</v>
      </c>
    </row>
    <row r="29">
      <c r="C29" s="21" t="s">
        <v>172</v>
      </c>
      <c r="D29" s="21" t="s">
        <v>170</v>
      </c>
      <c r="E29" s="21" t="s">
        <v>165</v>
      </c>
    </row>
  </sheetData>
  <drawing r:id="rId1"/>
</worksheet>
</file>